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<sst xmlns="http://schemas.openxmlformats.org/spreadsheetml/2006/main" count="44" uniqueCount="33">
  <si>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DỮ LIỆU CẢNH BÁO THÔ</t>
  </si>
  <si>
    <t>Thời gian</t>
  </si>
  <si>
    <t xml:space="preserve">Nguồn </t>
  </si>
  <si>
    <t>IP đich</t>
  </si>
  <si>
    <t>Loại mã độc  (ID)</t>
  </si>
  <si>
    <t>Tên mã độc</t>
  </si>
  <si>
    <t xml:space="preserve">Mức độ </t>
  </si>
  <si>
    <t>20-05-2024 08:15:23</t>
  </si>
  <si>
    <t>192.168.1.10</t>
  </si>
  <si>
    <t>10.0.0.5</t>
  </si>
  <si>
    <t xml:space="preserve">   MDL_1023</t>
  </si>
  <si>
    <t>Cao</t>
  </si>
  <si>
    <t>20-05-2024 08:16:11</t>
  </si>
  <si>
    <t>192.168.1.23</t>
  </si>
  <si>
    <t>10.0.0.8</t>
  </si>
  <si>
    <t>MDL_2045</t>
  </si>
  <si>
    <t>Trung bình</t>
  </si>
  <si>
    <t>20-05-2024 08:21:02</t>
  </si>
  <si>
    <t>10.0.0.12</t>
  </si>
  <si>
    <t xml:space="preserve">   MDL_3099</t>
  </si>
  <si>
    <t>…</t>
  </si>
  <si>
    <t>BẢN ĐỊNH NGHĨA LOẠI MÃ ĐỘC</t>
  </si>
  <si>
    <t>Loại mã độc</t>
  </si>
  <si>
    <t>Mô tả</t>
  </si>
  <si>
    <t>Mức độ mặc định</t>
  </si>
  <si>
    <t>MDL_1023</t>
  </si>
  <si>
    <t>Emotet</t>
  </si>
  <si>
    <t>Banking Trojan</t>
  </si>
  <si>
    <t>Lokibot</t>
  </si>
  <si>
    <t>Infor Stealer</t>
  </si>
  <si>
    <t>MDL_3099</t>
  </si>
  <si>
    <t>Cobalt Strike</t>
  </si>
  <si>
    <t>Penetration Tool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</si>
</sst>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23" applyFont="1" applyFill="1" applyAlignment="1">
      <alignment horizontal="center"/>
    </xf>
    <xf numFmtId="0" fontId="3" fillId="2" borderId="0" xfId="23" applyFont="1" applyFill="1" applyAlignment="1">
      <alignment horizontal="center"/>
    </xf>
    <xf numFmtId="0" fontId="1" fillId="0" borderId="0" xfId="0" applyFont="1" applyFill="1" applyAlignment="1">
      <alignment horizontal="center"/>
    </xf>
    <xf numFmtId="58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 indent="1"/>
    </xf>
    <xf numFmtId="0" fontId="1" fillId="0" borderId="0" xfId="0" applyNumberFormat="1" applyFont="1" applyFill="1" applyAlignment="1">
      <alignment horizontal="center"/>
    </xf>
    <xf numFmtId="0" fontId="4" fillId="3" borderId="0" xfId="29" applyFont="1" applyFill="1" applyAlignment="1">
      <alignment horizontal="center"/>
    </xf>
    <xf numFmtId="0" fontId="5" fillId="3" borderId="0" xfId="29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6" displayName="Table6" ref="A3:F7" totalsRowShown="0">
  <autoFilter xmlns:etc="http://www.wps.cn/officeDocument/2017/etCustomData" ref="A3:F7" etc:filterBottomFollowUsedRange="0"/>
  <tableColumns count="6">
    <tableColumn id="1" name="Thời gian"/>
    <tableColumn id="2" name="Nguồn "/>
    <tableColumn id="3" name="IP đich"/>
    <tableColumn id="4" name="Loại mã độc  (ID)"/>
    <tableColumn id="5" name="Tên mã độc" dataDxfId="0">
      <calculatedColumnFormula>VLOOKUP(TRIM(D4),$A$14:$D$17,2,FALSE)</calculatedColumnFormula>
    </tableColumn>
    <tableColumn id="6" name="Mức độ 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Table8" displayName="Table8" ref="A13:D17" totalsRowShown="0">
  <autoFilter xmlns:etc="http://www.wps.cn/officeDocument/2017/etCustomData" ref="A13:D17" etc:filterBottomFollowUsedRange="0"/>
  <tableColumns count="4">
    <tableColumn id="1" name="Loại mã độc"/>
    <tableColumn id="2" name="Tên mã độc"/>
    <tableColumn id="3" name="Mô tả"/>
    <tableColumn id="4" name="Mức độ mặc đị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3" sqref="E3:F7"/>
    </sheetView>
  </sheetViews>
  <sheetFormatPr defaultColWidth="9" defaultRowHeight="14.5" outlineLevelCol="5"/>
  <cols>
    <col min="1" max="1" width="18" style="1" customWidth="1"/>
    <col min="2" max="2" width="18.1363636363636" style="1" customWidth="1"/>
    <col min="3" max="3" width="18.2818181818182" style="1" customWidth="1"/>
    <col min="4" max="5" width="18.1363636363636" style="1" customWidth="1"/>
    <col min="6" max="6" width="18.4272727272727" style="1" customWidth="1"/>
    <col min="7" max="16384" width="9" style="1"/>
  </cols>
  <sheetData>
    <row r="1" s="1" customFormat="1" spans="1:6">
      <c r="A1" s="2" t="s">
        <v>0</v>
      </c>
      <c r="B1" s="3"/>
      <c r="C1" s="3"/>
      <c r="D1" s="3"/>
      <c r="E1" s="3"/>
      <c r="F1" s="3"/>
    </row>
    <row r="2" s="1" customFormat="1" spans="1:6">
      <c r="A2" s="3"/>
      <c r="B2" s="3"/>
      <c r="C2" s="3"/>
      <c r="D2" s="3"/>
      <c r="E2" s="3"/>
      <c r="F2" s="3"/>
    </row>
    <row r="3" s="1" customFormat="1" spans="1:6">
      <c r="A3" s="4" t="s">
        <v>1</v>
      </c>
      <c r="B3" s="4" t="s">
        <v>2</v>
      </c>
      <c r="C3" s="4" t="s">
        <v>3</v>
      </c>
      <c r="D3" s="1" t="s">
        <v>4</v>
      </c>
      <c r="E3" s="4" t="s">
        <v>5</v>
      </c>
      <c r="F3" s="4" t="s">
        <v>6</v>
      </c>
    </row>
    <row r="4" s="1" customFormat="1" spans="1:6">
      <c r="A4" s="5" t="s">
        <v>7</v>
      </c>
      <c r="B4" s="4" t="s">
        <v>8</v>
      </c>
      <c r="C4" s="4" t="s">
        <v>9</v>
      </c>
      <c r="D4" s="6" t="s">
        <v>10</v>
      </c>
      <c r="E4" s="7" t="str">
        <f>VLOOKUP(TRIM(D4),$A$14:$D$17,2,FALSE)</f>
        <v>Emotet</v>
      </c>
      <c r="F4" s="4" t="s">
        <v>11</v>
      </c>
    </row>
    <row r="5" s="1" customFormat="1" spans="1:6">
      <c r="A5" s="4" t="s">
        <v>12</v>
      </c>
      <c r="B5" s="4" t="s">
        <v>13</v>
      </c>
      <c r="C5" s="4" t="s">
        <v>14</v>
      </c>
      <c r="D5" s="4" t="s">
        <v>15</v>
      </c>
      <c r="E5" s="7" t="str">
        <f>VLOOKUP(TRIM(D5),$A$14:$D$17,2,FALSE)</f>
        <v>Lokibot</v>
      </c>
      <c r="F5" s="4" t="s">
        <v>16</v>
      </c>
    </row>
    <row r="6" s="1" customFormat="1" spans="1:6">
      <c r="A6" s="4" t="s">
        <v>17</v>
      </c>
      <c r="B6" s="4" t="s">
        <v>8</v>
      </c>
      <c r="C6" s="4" t="s">
        <v>18</v>
      </c>
      <c r="D6" s="6" t="s">
        <v>19</v>
      </c>
      <c r="E6" s="7" t="str">
        <f>VLOOKUP(TRIM(D6),$A$14:$D$17,2,FALSE)</f>
        <v>Cobalt Strike</v>
      </c>
      <c r="F6" s="4" t="s">
        <v>11</v>
      </c>
    </row>
    <row r="7" s="1" customFormat="1" spans="1:6">
      <c r="A7" s="4" t="s">
        <v>20</v>
      </c>
      <c r="B7" s="4" t="s">
        <v>20</v>
      </c>
      <c r="C7" s="4"/>
      <c r="E7" s="7" t="e">
        <f>VLOOKUP(TRIM(D7),$A$14:$D$17,2,FALSE)</f>
        <v>#N/A</v>
      </c>
      <c r="F7" s="4"/>
    </row>
    <row r="11" s="1" customFormat="1" spans="1:6">
      <c r="A11" s="8" t="s">
        <v>21</v>
      </c>
      <c r="B11" s="9"/>
      <c r="C11" s="9"/>
      <c r="D11" s="9"/>
    </row>
    <row r="12" s="1" customFormat="1" spans="1:6">
      <c r="A12" s="9"/>
      <c r="B12" s="9"/>
      <c r="C12" s="9"/>
      <c r="D12" s="9"/>
    </row>
    <row r="13" s="1" customFormat="1" spans="1:6">
      <c r="A13" s="4" t="s">
        <v>22</v>
      </c>
      <c r="B13" s="4" t="s">
        <v>5</v>
      </c>
      <c r="C13" s="4" t="s">
        <v>23</v>
      </c>
      <c r="D13" s="4" t="s">
        <v>24</v>
      </c>
    </row>
    <row r="14" s="1" customFormat="1" spans="1:6">
      <c r="A14" s="4" t="s">
        <v>25</v>
      </c>
      <c r="B14" s="4" t="s">
        <v>26</v>
      </c>
      <c r="C14" s="4" t="s">
        <v>27</v>
      </c>
      <c r="D14" s="4" t="s">
        <v>11</v>
      </c>
    </row>
    <row r="15" s="1" customFormat="1" spans="1:6">
      <c r="A15" s="4" t="s">
        <v>15</v>
      </c>
      <c r="B15" s="4" t="s">
        <v>28</v>
      </c>
      <c r="C15" s="4" t="s">
        <v>29</v>
      </c>
      <c r="D15" s="4" t="s">
        <v>16</v>
      </c>
    </row>
    <row r="16" s="1" customFormat="1" spans="1:6">
      <c r="A16" s="4" t="s">
        <v>30</v>
      </c>
      <c r="B16" s="4" t="s">
        <v>31</v>
      </c>
      <c r="C16" s="4" t="s">
        <v>32</v>
      </c>
      <c r="D16" s="4" t="s">
        <v>11</v>
      </c>
    </row>
    <row r="17" s="1" customFormat="1" spans="1:4">
      <c r="A17" s="4" t="s">
        <v>20</v>
      </c>
      <c r="B17" s="4" t="s">
        <v>20</v>
      </c>
      <c r="C17" s="4" t="s">
        <v>20</v>
      </c>
      <c r="D17" s="4"/>
    </row>
    <row r="18" s="1" customFormat="1" spans="1:4">
      <c r="A18" s="4"/>
      <c r="B18" s="4"/>
      <c r="C18" s="4"/>
      <c r="D18" s="4"/>
    </row>
  </sheetData>
  <mergeCells count="2">
    <mergeCell ref="A1:F2"/>
    <mergeCell ref="A11:D12"/>
  </mergeCells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PNN</dc:creator>
  <cp:lastModifiedBy>Phát Nguyễn Thành</cp:lastModifiedBy>
  <dcterms:created xsi:type="dcterms:W3CDTF">2026-10-27T02:44:43Z</dcterms:created>
  <dcterms:modified xsi:type="dcterms:W3CDTF">2026-10-27T02:46:56Z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459CF8FA4E5048AEBF05CEC204B50FEA_11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